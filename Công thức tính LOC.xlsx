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y tắc tính Loc" sheetId="1" r:id="rId4"/>
  </sheets>
  <definedNames/>
  <calcPr/>
  <extLst>
    <ext uri="GoogleSheetsCustomDataVersion2">
      <go:sheetsCustomData xmlns:go="http://customooxmlschemas.google.com/" r:id="rId5" roundtripDataChecksum="zm0xyClYtegeNsUgjuIskTv/VC2026jCuKP2y6g9FVc="/>
    </ext>
  </extLst>
</workbook>
</file>

<file path=xl/sharedStrings.xml><?xml version="1.0" encoding="utf-8"?>
<sst xmlns="http://schemas.openxmlformats.org/spreadsheetml/2006/main" count="88" uniqueCount="62">
  <si>
    <t>Item</t>
  </si>
  <si>
    <t>Failed</t>
  </si>
  <si>
    <t>Normal Cases</t>
  </si>
  <si>
    <t>Best Case</t>
  </si>
  <si>
    <t>Notes</t>
  </si>
  <si>
    <t>No of screens/functions</t>
  </si>
  <si>
    <t>Tổng số screens/functions hoàn thiện đủ happy cases</t>
  </si>
  <si>
    <t xml:space="preserve">Maximum LOC (C) </t>
  </si>
  <si>
    <t>Số LOC quy đổi (L2-3-4 = 33%, 33%, 33%)</t>
  </si>
  <si>
    <t>Quality Level (Q)</t>
  </si>
  <si>
    <t>Chất lượng màn hình/chức năng**</t>
  </si>
  <si>
    <t>Evaluated LOC</t>
  </si>
  <si>
    <t>Số LOC đạt được (LOC = C*Q)</t>
  </si>
  <si>
    <t>LOC Grade (LG)</t>
  </si>
  <si>
    <t>Tỷ trọng điểm LOC</t>
  </si>
  <si>
    <t>Non-LOC Grade (Pkg)</t>
  </si>
  <si>
    <t>Tỷ trọng điểm quy trình, material liên quan..</t>
  </si>
  <si>
    <t>ĐIỂM ĐÁNH GIÁ (/10)</t>
  </si>
  <si>
    <t>Converted LOC (for each of the complexity levels)</t>
  </si>
  <si>
    <t>Complexity Level</t>
  </si>
  <si>
    <t>Level 1</t>
  </si>
  <si>
    <t>Level 2</t>
  </si>
  <si>
    <t>Level 3</t>
  </si>
  <si>
    <t>Level 4</t>
  </si>
  <si>
    <t>Level 5</t>
  </si>
  <si>
    <t>Level 6</t>
  </si>
  <si>
    <t>Level 7</t>
  </si>
  <si>
    <t>Level</t>
  </si>
  <si>
    <t>Fields</t>
  </si>
  <si>
    <t>Trans*</t>
  </si>
  <si>
    <t>LOC</t>
  </si>
  <si>
    <t>Converted LOC</t>
  </si>
  <si>
    <t>3-5</t>
  </si>
  <si>
    <t>6-7</t>
  </si>
  <si>
    <t>Screen/Function Complexity Levels</t>
  </si>
  <si>
    <t>8-9</t>
  </si>
  <si>
    <t>Screen complexity can be defined based on the screen's fields OR screen/function's transactions</t>
  </si>
  <si>
    <t>10-11</t>
  </si>
  <si>
    <t>- Transactions can be counted as number of transactions to the database or external systems/subsystems</t>
  </si>
  <si>
    <t>12-13</t>
  </si>
  <si>
    <t>- Fields are screen's actionable components or database table fields; if there are some transactions those are</t>
  </si>
  <si>
    <t>14-15</t>
  </si>
  <si>
    <t xml:space="preserve">  not "related" to any fields, each of those transactions are counted as two fields and add those extra number </t>
  </si>
  <si>
    <t>&gt;15</t>
  </si>
  <si>
    <t>&gt;7</t>
  </si>
  <si>
    <t xml:space="preserve">  to the total number of fields to define the screen/function complexity</t>
  </si>
  <si>
    <t>*One trans (transactions) = Two fields (actionable screen components)</t>
  </si>
  <si>
    <t>No of transactions 
(to database, external,..)</t>
  </si>
  <si>
    <t>One transaction can be converted as two actionable fields</t>
  </si>
  <si>
    <t>OR: no of fields</t>
  </si>
  <si>
    <t>Screen/Function Quality Levels &amp; LOC Evaluation Rate</t>
  </si>
  <si>
    <t>Rate</t>
  </si>
  <si>
    <t>L1_Happy Cases</t>
  </si>
  <si>
    <t>The screen/function is workable, all happy cases are included</t>
  </si>
  <si>
    <t>L2_All Cases</t>
  </si>
  <si>
    <t>The screen/function is workable with both happy and unhappy cases included</t>
  </si>
  <si>
    <t>L3_Optimized</t>
  </si>
  <si>
    <t>All happy &amp; unhappy cases included + the function/screen is optimized in term of UX and
and business logics (suitability to real-world use cases)</t>
  </si>
  <si>
    <t>Some samples of screen complexity defining are as following</t>
  </si>
  <si>
    <t>Sample #1</t>
  </si>
  <si>
    <t>Sample #2</t>
  </si>
  <si>
    <t>Sample #3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</si>
</sst>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_-;\-* #,##0.0_-;_-* &quot;-&quot;??_-;_-@"/>
    <numFmt numFmtId="165" formatCode="_-* #,##0.00_-;\-* #,##0.00_-;_-* &quot;-&quot;??_-;_-@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4.0"/>
      <color theme="1"/>
      <name val="Calibri"/>
    </font>
    <font>
      <b/>
      <i/>
      <sz val="11.0"/>
      <color theme="1"/>
      <name val="Calibri"/>
    </font>
    <font>
      <i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2" fontId="2" numFmtId="0" xfId="0" applyBorder="1" applyFont="1"/>
    <xf borderId="3" fillId="2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3" fillId="2" fontId="2" numFmtId="0" xfId="0" applyAlignment="1" applyBorder="1" applyFont="1">
      <alignment horizontal="left"/>
    </xf>
    <xf borderId="6" fillId="0" fontId="3" numFmtId="0" xfId="0" applyBorder="1" applyFont="1"/>
    <xf borderId="7" fillId="3" fontId="1" numFmtId="0" xfId="0" applyBorder="1" applyFill="1" applyFont="1"/>
    <xf borderId="8" fillId="0" fontId="1" numFmtId="0" xfId="0" applyBorder="1" applyFont="1"/>
    <xf borderId="9" fillId="0" fontId="1" numFmtId="0" xfId="0" applyAlignment="1" applyBorder="1" applyFont="1">
      <alignment horizontal="left"/>
    </xf>
    <xf borderId="10" fillId="0" fontId="3" numFmtId="0" xfId="0" applyBorder="1" applyFont="1"/>
    <xf borderId="11" fillId="0" fontId="3" numFmtId="0" xfId="0" applyBorder="1" applyFont="1"/>
    <xf borderId="8" fillId="3" fontId="1" numFmtId="0" xfId="0" applyBorder="1" applyFont="1"/>
    <xf borderId="8" fillId="0" fontId="1" numFmtId="9" xfId="0" applyBorder="1" applyFont="1" applyNumberFormat="1"/>
    <xf borderId="8" fillId="3" fontId="1" numFmtId="164" xfId="0" applyBorder="1" applyFont="1" applyNumberFormat="1"/>
    <xf borderId="8" fillId="0" fontId="1" numFmtId="9" xfId="0" applyAlignment="1" applyBorder="1" applyFont="1" applyNumberFormat="1">
      <alignment horizontal="center"/>
    </xf>
    <xf borderId="9" fillId="0" fontId="1" numFmtId="164" xfId="0" applyAlignment="1" applyBorder="1" applyFont="1" applyNumberFormat="1">
      <alignment horizontal="left"/>
    </xf>
    <xf borderId="12" fillId="3" fontId="1" numFmtId="0" xfId="0" applyBorder="1" applyFont="1"/>
    <xf borderId="13" fillId="3" fontId="1" numFmtId="0" xfId="0" applyBorder="1" applyFont="1"/>
    <xf borderId="13" fillId="0" fontId="1" numFmtId="9" xfId="0" applyAlignment="1" applyBorder="1" applyFont="1" applyNumberFormat="1">
      <alignment horizontal="center"/>
    </xf>
    <xf borderId="14" fillId="0" fontId="1" numFmtId="0" xfId="0" applyAlignment="1" applyBorder="1" applyFont="1">
      <alignment horizontal="left"/>
    </xf>
    <xf borderId="15" fillId="0" fontId="3" numFmtId="0" xfId="0" applyBorder="1" applyFont="1"/>
    <xf borderId="16" fillId="0" fontId="3" numFmtId="0" xfId="0" applyBorder="1" applyFont="1"/>
    <xf borderId="0" fillId="0" fontId="2" numFmtId="0" xfId="0" applyAlignment="1" applyFont="1">
      <alignment horizontal="right"/>
    </xf>
    <xf borderId="0" fillId="0" fontId="2" numFmtId="164" xfId="0" applyFont="1" applyNumberFormat="1"/>
    <xf borderId="0" fillId="0" fontId="2" numFmtId="0" xfId="0" applyFont="1"/>
    <xf borderId="0" fillId="0" fontId="1" numFmtId="165" xfId="0" applyFont="1" applyNumberFormat="1"/>
    <xf borderId="0" fillId="0" fontId="4" numFmtId="0" xfId="0" applyAlignment="1" applyFont="1">
      <alignment horizontal="left"/>
    </xf>
    <xf borderId="8" fillId="2" fontId="5" numFmtId="0" xfId="0" applyAlignment="1" applyBorder="1" applyFont="1">
      <alignment horizontal="right"/>
    </xf>
    <xf borderId="8" fillId="2" fontId="5" numFmtId="0" xfId="0" applyBorder="1" applyFont="1"/>
    <xf borderId="8" fillId="2" fontId="5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left" shrinkToFit="0" vertical="center" wrapText="1"/>
    </xf>
    <xf borderId="9" fillId="2" fontId="5" numFmtId="0" xfId="0" applyAlignment="1" applyBorder="1" applyFont="1">
      <alignment horizontal="left" shrinkToFit="0" vertical="top" wrapText="1"/>
    </xf>
    <xf borderId="17" fillId="0" fontId="3" numFmtId="0" xfId="0" applyBorder="1" applyFont="1"/>
    <xf borderId="8" fillId="3" fontId="1" numFmtId="0" xfId="0" applyAlignment="1" applyBorder="1" applyFont="1">
      <alignment horizontal="right"/>
    </xf>
    <xf borderId="8" fillId="3" fontId="1" numFmtId="0" xfId="0" applyAlignment="1" applyBorder="1" applyFont="1">
      <alignment horizontal="center"/>
    </xf>
    <xf borderId="8" fillId="4" fontId="1" numFmtId="0" xfId="0" applyAlignment="1" applyBorder="1" applyFill="1" applyFont="1">
      <alignment horizontal="center"/>
    </xf>
    <xf borderId="8" fillId="0" fontId="1" numFmtId="0" xfId="0" applyAlignment="1" applyBorder="1" applyFont="1">
      <alignment horizontal="center"/>
    </xf>
    <xf borderId="8" fillId="0" fontId="1" numFmtId="0" xfId="0" applyAlignment="1" applyBorder="1" applyFont="1">
      <alignment vertical="top"/>
    </xf>
    <xf quotePrefix="1" borderId="8" fillId="0" fontId="1" numFmtId="0" xfId="0" applyAlignment="1" applyBorder="1" applyFont="1">
      <alignment horizontal="center" vertical="top"/>
    </xf>
    <xf borderId="8" fillId="0" fontId="1" numFmtId="0" xfId="0" applyAlignment="1" applyBorder="1" applyFont="1">
      <alignment horizontal="center" vertical="top"/>
    </xf>
    <xf borderId="9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/>
    </xf>
    <xf quotePrefix="1" borderId="0" fillId="0" fontId="1" numFmtId="0" xfId="0" applyAlignment="1" applyFont="1">
      <alignment horizontal="left"/>
    </xf>
    <xf borderId="8" fillId="2" fontId="2" numFmtId="0" xfId="0" applyAlignment="1" applyBorder="1" applyFont="1">
      <alignment horizontal="right"/>
    </xf>
    <xf borderId="18" fillId="0" fontId="1" numFmtId="0" xfId="0" applyAlignment="1" applyBorder="1" applyFont="1">
      <alignment horizontal="right" shrinkToFit="0" wrapText="1"/>
    </xf>
    <xf borderId="19" fillId="0" fontId="3" numFmtId="0" xfId="0" applyBorder="1" applyFont="1"/>
    <xf borderId="9" fillId="0" fontId="6" numFmtId="0" xfId="0" applyAlignment="1" applyBorder="1" applyFont="1">
      <alignment horizontal="center"/>
    </xf>
    <xf borderId="8" fillId="0" fontId="1" numFmtId="0" xfId="0" applyAlignment="1" applyBorder="1" applyFont="1">
      <alignment horizontal="right"/>
    </xf>
    <xf quotePrefix="1" borderId="8" fillId="0" fontId="1" numFmtId="0" xfId="0" applyAlignment="1" applyBorder="1" applyFont="1">
      <alignment horizontal="center"/>
    </xf>
    <xf quotePrefix="1" borderId="8" fillId="0" fontId="1" numFmtId="16" xfId="0" applyAlignment="1" applyBorder="1" applyFont="1" applyNumberFormat="1">
      <alignment horizontal="center"/>
    </xf>
    <xf borderId="9" fillId="2" fontId="5" numFmtId="0" xfId="0" applyAlignment="1" applyBorder="1" applyFont="1">
      <alignment horizontal="left"/>
    </xf>
    <xf borderId="8" fillId="3" fontId="1" numFmtId="0" xfId="0" applyAlignment="1" applyBorder="1" applyFont="1">
      <alignment horizontal="right" vertical="top"/>
    </xf>
    <xf borderId="8" fillId="0" fontId="1" numFmtId="9" xfId="0" applyAlignment="1" applyBorder="1" applyFont="1" applyNumberFormat="1">
      <alignment vertical="top"/>
    </xf>
    <xf borderId="9" fillId="0" fontId="1" numFmtId="0" xfId="0" applyAlignment="1" applyBorder="1" applyFont="1">
      <alignment horizontal="left" shrinkToFit="0" vertical="top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32</xdr:row>
      <xdr:rowOff>57150</xdr:rowOff>
    </xdr:from>
    <xdr:ext cx="5676900" cy="2057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32</xdr:row>
      <xdr:rowOff>9525</xdr:rowOff>
    </xdr:from>
    <xdr:ext cx="3533775" cy="32575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45</xdr:row>
      <xdr:rowOff>0</xdr:rowOff>
    </xdr:from>
    <xdr:ext cx="5543550" cy="46577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23.14"/>
    <col customWidth="1" min="3" max="3" width="8.14"/>
    <col customWidth="1" min="4" max="4" width="10.14"/>
    <col customWidth="1" min="5" max="5" width="9.29"/>
    <col customWidth="1" min="6" max="6" width="9.14"/>
    <col customWidth="1" min="7" max="7" width="9.57"/>
    <col customWidth="1" min="8" max="12" width="9.14"/>
    <col customWidth="1" min="13" max="13" width="6.86"/>
    <col customWidth="1" min="14" max="14" width="6.43"/>
    <col customWidth="1" min="15" max="15" width="9.14"/>
    <col customWidth="1" min="16" max="16" width="18.29"/>
    <col customWidth="1" min="17" max="26" width="9.14"/>
  </cols>
  <sheetData>
    <row r="1" ht="14.25" customHeight="1">
      <c r="A1" s="1"/>
      <c r="B1" s="2" t="s">
        <v>0</v>
      </c>
      <c r="C1" s="3" t="s">
        <v>1</v>
      </c>
      <c r="D1" s="4" t="s">
        <v>2</v>
      </c>
      <c r="E1" s="5"/>
      <c r="F1" s="6"/>
      <c r="G1" s="3" t="s">
        <v>3</v>
      </c>
      <c r="H1" s="7" t="s">
        <v>4</v>
      </c>
      <c r="I1" s="5"/>
      <c r="J1" s="5"/>
      <c r="K1" s="5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9" t="s">
        <v>5</v>
      </c>
      <c r="C2" s="10">
        <v>4.0</v>
      </c>
      <c r="D2" s="10">
        <v>5.0</v>
      </c>
      <c r="E2" s="10">
        <v>6.0</v>
      </c>
      <c r="F2" s="10">
        <v>7.0</v>
      </c>
      <c r="G2" s="10">
        <v>8.0</v>
      </c>
      <c r="H2" s="11" t="s">
        <v>6</v>
      </c>
      <c r="I2" s="12"/>
      <c r="J2" s="12"/>
      <c r="K2" s="12"/>
      <c r="L2" s="1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9" t="s">
        <v>7</v>
      </c>
      <c r="C3" s="14">
        <f t="shared" ref="C3:G3" si="1">C2*1/3*90+C2*1/3*120+C2*1/3*150</f>
        <v>480</v>
      </c>
      <c r="D3" s="14">
        <f t="shared" si="1"/>
        <v>600</v>
      </c>
      <c r="E3" s="14">
        <f t="shared" si="1"/>
        <v>720</v>
      </c>
      <c r="F3" s="14">
        <f t="shared" si="1"/>
        <v>840</v>
      </c>
      <c r="G3" s="14">
        <f t="shared" si="1"/>
        <v>960</v>
      </c>
      <c r="H3" s="11" t="s">
        <v>8</v>
      </c>
      <c r="I3" s="12"/>
      <c r="J3" s="12"/>
      <c r="K3" s="12"/>
      <c r="L3" s="1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9" t="s">
        <v>9</v>
      </c>
      <c r="C4" s="15">
        <v>0.5</v>
      </c>
      <c r="D4" s="15">
        <v>0.5</v>
      </c>
      <c r="E4" s="15">
        <v>0.75</v>
      </c>
      <c r="F4" s="15">
        <v>0.75</v>
      </c>
      <c r="G4" s="15">
        <v>0.75</v>
      </c>
      <c r="H4" s="11" t="s">
        <v>10</v>
      </c>
      <c r="I4" s="12"/>
      <c r="J4" s="12"/>
      <c r="K4" s="12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9" t="s">
        <v>11</v>
      </c>
      <c r="C5" s="14">
        <f t="shared" ref="C5:G5" si="2">C3*C4</f>
        <v>240</v>
      </c>
      <c r="D5" s="14">
        <f t="shared" si="2"/>
        <v>300</v>
      </c>
      <c r="E5" s="14">
        <f t="shared" si="2"/>
        <v>540</v>
      </c>
      <c r="F5" s="14">
        <f t="shared" si="2"/>
        <v>630</v>
      </c>
      <c r="G5" s="14">
        <f t="shared" si="2"/>
        <v>720</v>
      </c>
      <c r="H5" s="11" t="s">
        <v>12</v>
      </c>
      <c r="I5" s="12"/>
      <c r="J5" s="12"/>
      <c r="K5" s="12"/>
      <c r="L5" s="1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9" t="s">
        <v>13</v>
      </c>
      <c r="C6" s="16">
        <f t="shared" ref="C6:G6" si="3">C5/660*10</f>
        <v>3.636363636</v>
      </c>
      <c r="D6" s="16">
        <f t="shared" si="3"/>
        <v>4.545454545</v>
      </c>
      <c r="E6" s="16">
        <f t="shared" si="3"/>
        <v>8.181818182</v>
      </c>
      <c r="F6" s="16">
        <f t="shared" si="3"/>
        <v>9.545454545</v>
      </c>
      <c r="G6" s="16">
        <f t="shared" si="3"/>
        <v>10.90909091</v>
      </c>
      <c r="H6" s="17">
        <v>0.7</v>
      </c>
      <c r="I6" s="18" t="s">
        <v>14</v>
      </c>
      <c r="J6" s="12"/>
      <c r="K6" s="12"/>
      <c r="L6" s="1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9" t="s">
        <v>15</v>
      </c>
      <c r="C7" s="20">
        <v>6.0</v>
      </c>
      <c r="D7" s="20">
        <v>6.0</v>
      </c>
      <c r="E7" s="20">
        <v>7.0</v>
      </c>
      <c r="F7" s="20">
        <v>7.0</v>
      </c>
      <c r="G7" s="20">
        <v>8.0</v>
      </c>
      <c r="H7" s="21">
        <v>0.3</v>
      </c>
      <c r="I7" s="22" t="s">
        <v>16</v>
      </c>
      <c r="J7" s="23"/>
      <c r="K7" s="23"/>
      <c r="L7" s="2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5" t="s">
        <v>17</v>
      </c>
      <c r="C8" s="26">
        <f t="shared" ref="C8:G8" si="4">C6*$H$6+C7*$H$7</f>
        <v>4.345454545</v>
      </c>
      <c r="D8" s="26">
        <f t="shared" si="4"/>
        <v>4.981818182</v>
      </c>
      <c r="E8" s="26">
        <f t="shared" si="4"/>
        <v>7.827272727</v>
      </c>
      <c r="F8" s="26">
        <f t="shared" si="4"/>
        <v>8.781818182</v>
      </c>
      <c r="G8" s="26">
        <f t="shared" si="4"/>
        <v>10.03636364</v>
      </c>
      <c r="H8" s="26"/>
      <c r="I8" s="2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7"/>
      <c r="C9" s="28"/>
      <c r="D9" s="28"/>
      <c r="E9" s="28"/>
      <c r="F9" s="28"/>
      <c r="G9" s="28"/>
      <c r="H9" s="28"/>
      <c r="I9" s="2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9" t="s">
        <v>18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30" t="s">
        <v>19</v>
      </c>
      <c r="C11" s="31" t="s">
        <v>20</v>
      </c>
      <c r="D11" s="32" t="s">
        <v>21</v>
      </c>
      <c r="E11" s="32" t="s">
        <v>22</v>
      </c>
      <c r="F11" s="32" t="s">
        <v>23</v>
      </c>
      <c r="G11" s="32" t="s">
        <v>24</v>
      </c>
      <c r="H11" s="32" t="s">
        <v>25</v>
      </c>
      <c r="I11" s="32" t="s">
        <v>26</v>
      </c>
      <c r="J11" s="1"/>
      <c r="K11" s="33" t="s">
        <v>27</v>
      </c>
      <c r="L11" s="33" t="s">
        <v>28</v>
      </c>
      <c r="M11" s="33" t="s">
        <v>29</v>
      </c>
      <c r="N11" s="33" t="s">
        <v>30</v>
      </c>
      <c r="O11" s="34" t="s">
        <v>4</v>
      </c>
      <c r="P11" s="35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36" t="s">
        <v>31</v>
      </c>
      <c r="C12" s="14">
        <v>60.0</v>
      </c>
      <c r="D12" s="37">
        <v>90.0</v>
      </c>
      <c r="E12" s="37">
        <v>120.0</v>
      </c>
      <c r="F12" s="37">
        <v>150.0</v>
      </c>
      <c r="G12" s="37">
        <v>180.0</v>
      </c>
      <c r="H12" s="38">
        <v>210.0</v>
      </c>
      <c r="I12" s="39">
        <v>240.0</v>
      </c>
      <c r="J12" s="1"/>
      <c r="K12" s="40" t="s">
        <v>20</v>
      </c>
      <c r="L12" s="41" t="s">
        <v>32</v>
      </c>
      <c r="M12" s="42">
        <v>2.0</v>
      </c>
      <c r="N12" s="42">
        <v>60.0</v>
      </c>
      <c r="O12" s="43" t="str">
        <f t="shared" ref="O12:O18" si="5">L12 &amp; " fields OR " &amp; M12 &amp; " trans"</f>
        <v>3-5 fields OR 2 trans</v>
      </c>
      <c r="P12" s="35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40" t="s">
        <v>21</v>
      </c>
      <c r="L13" s="41" t="s">
        <v>33</v>
      </c>
      <c r="M13" s="42">
        <v>3.0</v>
      </c>
      <c r="N13" s="42">
        <v>90.0</v>
      </c>
      <c r="O13" s="43" t="str">
        <f t="shared" si="5"/>
        <v>6-7 fields OR 3 trans</v>
      </c>
      <c r="P13" s="35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9" t="s">
        <v>34</v>
      </c>
      <c r="C14" s="1"/>
      <c r="D14" s="1"/>
      <c r="E14" s="1"/>
      <c r="F14" s="1"/>
      <c r="G14" s="1"/>
      <c r="H14" s="1"/>
      <c r="I14" s="1"/>
      <c r="J14" s="1"/>
      <c r="K14" s="40" t="s">
        <v>22</v>
      </c>
      <c r="L14" s="41" t="s">
        <v>35</v>
      </c>
      <c r="M14" s="42">
        <v>4.0</v>
      </c>
      <c r="N14" s="42">
        <v>120.0</v>
      </c>
      <c r="O14" s="43" t="str">
        <f t="shared" si="5"/>
        <v>8-9 fields OR 4 trans</v>
      </c>
      <c r="P14" s="35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44" t="s">
        <v>36</v>
      </c>
      <c r="C15" s="1"/>
      <c r="D15" s="1"/>
      <c r="E15" s="1"/>
      <c r="F15" s="1"/>
      <c r="G15" s="1"/>
      <c r="H15" s="1"/>
      <c r="I15" s="1"/>
      <c r="J15" s="1"/>
      <c r="K15" s="40" t="s">
        <v>23</v>
      </c>
      <c r="L15" s="41" t="s">
        <v>37</v>
      </c>
      <c r="M15" s="42">
        <v>5.0</v>
      </c>
      <c r="N15" s="42">
        <v>150.0</v>
      </c>
      <c r="O15" s="43" t="str">
        <f t="shared" si="5"/>
        <v>10-11 fields OR 5 trans</v>
      </c>
      <c r="P15" s="35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45" t="s">
        <v>38</v>
      </c>
      <c r="C16" s="1"/>
      <c r="D16" s="1"/>
      <c r="E16" s="1"/>
      <c r="F16" s="1"/>
      <c r="G16" s="1"/>
      <c r="H16" s="1"/>
      <c r="I16" s="1"/>
      <c r="J16" s="1"/>
      <c r="K16" s="40" t="s">
        <v>24</v>
      </c>
      <c r="L16" s="41" t="s">
        <v>39</v>
      </c>
      <c r="M16" s="42">
        <v>6.0</v>
      </c>
      <c r="N16" s="42">
        <v>180.0</v>
      </c>
      <c r="O16" s="43" t="str">
        <f t="shared" si="5"/>
        <v>12-13 fields OR 6 trans</v>
      </c>
      <c r="P16" s="35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45" t="s">
        <v>40</v>
      </c>
      <c r="C17" s="1"/>
      <c r="D17" s="1"/>
      <c r="E17" s="1"/>
      <c r="F17" s="1"/>
      <c r="G17" s="1"/>
      <c r="H17" s="1"/>
      <c r="I17" s="1"/>
      <c r="J17" s="1"/>
      <c r="K17" s="40" t="s">
        <v>25</v>
      </c>
      <c r="L17" s="41" t="s">
        <v>41</v>
      </c>
      <c r="M17" s="42">
        <v>7.0</v>
      </c>
      <c r="N17" s="42">
        <v>210.0</v>
      </c>
      <c r="O17" s="43" t="str">
        <f t="shared" si="5"/>
        <v>14-15 fields OR 7 trans</v>
      </c>
      <c r="P17" s="35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44" t="s">
        <v>42</v>
      </c>
      <c r="C18" s="1"/>
      <c r="D18" s="1"/>
      <c r="E18" s="1"/>
      <c r="F18" s="1"/>
      <c r="G18" s="1"/>
      <c r="H18" s="1"/>
      <c r="I18" s="1"/>
      <c r="J18" s="1"/>
      <c r="K18" s="40" t="s">
        <v>26</v>
      </c>
      <c r="L18" s="42" t="s">
        <v>43</v>
      </c>
      <c r="M18" s="42" t="s">
        <v>44</v>
      </c>
      <c r="N18" s="42">
        <v>240.0</v>
      </c>
      <c r="O18" s="43" t="str">
        <f t="shared" si="5"/>
        <v>&gt;15 fields OR &gt;7 trans</v>
      </c>
      <c r="P18" s="35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44" t="s">
        <v>45</v>
      </c>
      <c r="C19" s="1"/>
      <c r="D19" s="1"/>
      <c r="E19" s="1"/>
      <c r="F19" s="1"/>
      <c r="G19" s="1"/>
      <c r="H19" s="1"/>
      <c r="I19" s="1"/>
      <c r="J19" s="1"/>
      <c r="K19" s="1" t="s">
        <v>46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46" t="s">
        <v>19</v>
      </c>
      <c r="C20" s="31" t="s">
        <v>20</v>
      </c>
      <c r="D20" s="32" t="s">
        <v>21</v>
      </c>
      <c r="E20" s="32" t="s">
        <v>22</v>
      </c>
      <c r="F20" s="32" t="s">
        <v>23</v>
      </c>
      <c r="G20" s="32" t="s">
        <v>24</v>
      </c>
      <c r="H20" s="32" t="s">
        <v>25</v>
      </c>
      <c r="I20" s="32" t="s">
        <v>26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47" t="s">
        <v>47</v>
      </c>
      <c r="C21" s="42">
        <v>2.0</v>
      </c>
      <c r="D21" s="42">
        <v>3.0</v>
      </c>
      <c r="E21" s="42">
        <v>4.0</v>
      </c>
      <c r="F21" s="42">
        <v>5.0</v>
      </c>
      <c r="G21" s="42">
        <v>6.0</v>
      </c>
      <c r="H21" s="42">
        <v>7.0</v>
      </c>
      <c r="I21" s="42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48"/>
      <c r="C22" s="49" t="s">
        <v>48</v>
      </c>
      <c r="D22" s="12"/>
      <c r="E22" s="12"/>
      <c r="F22" s="12"/>
      <c r="G22" s="12"/>
      <c r="H22" s="12"/>
      <c r="I22" s="3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50" t="s">
        <v>49</v>
      </c>
      <c r="C23" s="51" t="s">
        <v>32</v>
      </c>
      <c r="D23" s="52" t="s">
        <v>33</v>
      </c>
      <c r="E23" s="51" t="s">
        <v>35</v>
      </c>
      <c r="F23" s="51" t="s">
        <v>37</v>
      </c>
      <c r="G23" s="51" t="s">
        <v>39</v>
      </c>
      <c r="H23" s="51" t="s">
        <v>41</v>
      </c>
      <c r="I23" s="51" t="s">
        <v>43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9" t="s">
        <v>50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46" t="s">
        <v>27</v>
      </c>
      <c r="C26" s="31" t="s">
        <v>51</v>
      </c>
      <c r="D26" s="53" t="s">
        <v>4</v>
      </c>
      <c r="E26" s="12"/>
      <c r="F26" s="12"/>
      <c r="G26" s="12"/>
      <c r="H26" s="12"/>
      <c r="I26" s="12"/>
      <c r="J26" s="12"/>
      <c r="K26" s="3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54" t="s">
        <v>52</v>
      </c>
      <c r="C27" s="55">
        <v>0.5</v>
      </c>
      <c r="D27" s="43" t="s">
        <v>53</v>
      </c>
      <c r="E27" s="12"/>
      <c r="F27" s="12"/>
      <c r="G27" s="12"/>
      <c r="H27" s="12"/>
      <c r="I27" s="12"/>
      <c r="J27" s="12"/>
      <c r="K27" s="3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54" t="s">
        <v>54</v>
      </c>
      <c r="C28" s="55">
        <v>0.75</v>
      </c>
      <c r="D28" s="43" t="s">
        <v>55</v>
      </c>
      <c r="E28" s="12"/>
      <c r="F28" s="12"/>
      <c r="G28" s="12"/>
      <c r="H28" s="12"/>
      <c r="I28" s="12"/>
      <c r="J28" s="12"/>
      <c r="K28" s="3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54" t="s">
        <v>56</v>
      </c>
      <c r="C29" s="55">
        <v>1.0</v>
      </c>
      <c r="D29" s="56" t="s">
        <v>57</v>
      </c>
      <c r="E29" s="12"/>
      <c r="F29" s="12"/>
      <c r="G29" s="12"/>
      <c r="H29" s="12"/>
      <c r="I29" s="12"/>
      <c r="J29" s="12"/>
      <c r="K29" s="3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9" t="s">
        <v>58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57" t="s">
        <v>59</v>
      </c>
      <c r="C32" s="1"/>
      <c r="D32" s="1"/>
      <c r="E32" s="1"/>
      <c r="F32" s="1"/>
      <c r="G32" s="1"/>
      <c r="H32" s="1"/>
      <c r="I32" s="1"/>
      <c r="J32" s="1"/>
      <c r="K32" s="57" t="s">
        <v>60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57" t="s">
        <v>61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2">
    <mergeCell ref="D1:F1"/>
    <mergeCell ref="H1:L1"/>
    <mergeCell ref="H2:L2"/>
    <mergeCell ref="H3:L3"/>
    <mergeCell ref="H4:L4"/>
    <mergeCell ref="H5:L5"/>
    <mergeCell ref="I6:L6"/>
    <mergeCell ref="O17:P17"/>
    <mergeCell ref="O18:P18"/>
    <mergeCell ref="B21:B22"/>
    <mergeCell ref="C22:I22"/>
    <mergeCell ref="D26:K26"/>
    <mergeCell ref="D27:K27"/>
    <mergeCell ref="D28:K28"/>
    <mergeCell ref="D29:K29"/>
    <mergeCell ref="I7:L7"/>
    <mergeCell ref="O11:P11"/>
    <mergeCell ref="O12:P12"/>
    <mergeCell ref="O13:P13"/>
    <mergeCell ref="O14:P14"/>
    <mergeCell ref="O15:P15"/>
    <mergeCell ref="O16:P1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2021-04-10T11:59:00Z</dcterms:created>
  <dc:creator>Do Thi Thoa (FHO.PID)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1033-3.2.0.6442</vt:lpwstr>
  </property>
</Properties>
</file>